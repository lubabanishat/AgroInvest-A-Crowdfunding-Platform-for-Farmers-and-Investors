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4760069f3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Test Cases" sheetId="1" r:id="Ra3330ed81ab645a8"/>
    <x:sheet xmlns:r="http://schemas.openxmlformats.org/officeDocument/2006/relationships" name="Summary" sheetId="2" r:id="R216087786fe7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E5E3F"/>
      <x:name val="Carlito"/>
    </x:font>
    <x:font>
      <x:b/>
      <x:sz val="11"/>
      <x:color rgb="FFFFFFFF"/>
      <x:name val="Carlito"/>
    </x:font>
    <x:font>
      <x:b/>
      <x:sz val="11"/>
      <x:color rgb="FF1F6B3A"/>
      <x:name val="Carlito"/>
    </x:font>
    <x:font>
      <x:sz val="10"/>
      <x:color rgb="FF000000"/>
      <x:name val="Carlito"/>
    </x:font>
    <x:font>
      <x:b/>
      <x:sz val="10"/>
      <x:color rgb="FFFFFFFF"/>
      <x:name val="Carlito"/>
    </x:font>
    <x:font>
      <x:b/>
      <x:sz val="15"/>
      <x:color rgb="FF000000"/>
      <x:name val="Carlito"/>
    </x:font>
    <x:font>
      <x:sz val="10"/>
      <x:color rgb="FF000000"/>
      <x:name val="Carlito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B3A"/>
      </x:patternFill>
    </x:fill>
    <x:fill>
      <x:patternFill patternType="solid">
        <x:fgColor rgb="FFEAF4EC"/>
      </x:patternFill>
    </x:fill>
    <x:fill>
      <x:patternFill patternType="solid">
        <x:fgColor rgb="FF2E7D32"/>
      </x:patternFill>
    </x:fill>
    <x:fill>
      <x:patternFill patternType="solid">
        <x:fgColor rgb="FFFFFFFF"/>
      </x:patternFill>
    </x:fill>
    <x:fill>
      <x:patternFill patternType="solid">
        <x:fgColor rgb="FF2E7D3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4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853e072d94c16" /><Relationship Type="http://schemas.openxmlformats.org/officeDocument/2006/relationships/theme" Target="/xl/theme/theme1.xml" Id="R8be366fb04444f60" /><Relationship Type="http://schemas.openxmlformats.org/officeDocument/2006/relationships/sharedStrings" Target="/xl/sharedStrings.xml" Id="R1ddc1aad0a174bc0" /><Relationship Type="http://schemas.openxmlformats.org/officeDocument/2006/relationships/worksheet" Target="/xl/worksheets/sheet1.xml" Id="Ra3330ed81ab645a8" /><Relationship Type="http://schemas.openxmlformats.org/officeDocument/2006/relationships/worksheet" Target="/xl/worksheets/sheet2.xml" Id="R216087786fe744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7faa823e104a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Status Overview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7faa823e104a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ATestCasesTable" displayName="QATestCasesTable" ref="A4:I39" headerRowCount="1" totalsRowCount="0" totalsRowShown="0">
  <x:tableColumns count="9">
    <x:tableColumn id="1" name="Test ID"/>
    <x:tableColumn id="2" name="Module"/>
    <x:tableColumn id="3" name="Test Scenario"/>
    <x:tableColumn id="4" name="Test Steps"/>
    <x:tableColumn id="5" name="Test Data"/>
    <x:tableColumn id="6" name="Expected Result"/>
    <x:tableColumn id="7" name="Actual Result"/>
    <x:tableColumn id="8" name="Status"/>
    <x:tableColumn id="9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ed33e5d56043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75acb00a8f94c8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34" hidden="0" customWidth="1"/>
    <x:col min="5" max="5" width="22" hidden="0" customWidth="1"/>
    <x:col min="6" max="6" width="38" hidden="0" customWidth="1"/>
    <x:col min="7" max="7" width="32" hidden="0" customWidth="1"/>
    <x:col min="8" max="8" width="14" hidden="0" customWidth="1"/>
    <x:col min="9" max="9" width="28" hidden="0" customWidth="1"/>
  </x:cols>
  <x:sheetData>
    <x:row r="1">
      <x:c r="A1" s="42" t="str">
        <x:v>AgroInvest – QA / System Testing Report</x:v>
      </x:c>
      <x:c r="B1" s="42"/>
      <x:c r="C1" s="42"/>
      <x:c r="D1" s="42"/>
      <x:c r="E1" s="42"/>
      <x:c r="F1" s="42"/>
      <x:c r="G1" s="42"/>
      <x:c r="H1" s="42"/>
      <x:c r="I1" s="42"/>
    </x:row>
    <x:row r="2">
      <x:c r="A2" s="44" t="str">
        <x:v>Live deployment validation for Frontend, Backend, REST API, SSLCommerz Sandbox and TiDB Cloud</x:v>
      </x:c>
      <x:c r="B2" s="44"/>
      <x:c r="C2" s="44"/>
      <x:c r="D2" s="44"/>
      <x:c r="E2" s="44"/>
      <x:c r="F2" s="44"/>
      <x:c r="G2" s="44"/>
      <x:c r="H2" s="44"/>
      <x:c r="I2" s="44"/>
    </x:row>
    <x:row r="4" ht="30" customHeight="1">
      <x:c r="A4" s="40" t="str">
        <x:v>Test ID</x:v>
      </x:c>
      <x:c r="B4" s="40" t="str">
        <x:v>Module</x:v>
      </x:c>
      <x:c r="C4" s="40" t="str">
        <x:v>Test Scenario</x:v>
      </x:c>
      <x:c r="D4" s="40" t="str">
        <x:v>Test Steps</x:v>
      </x:c>
      <x:c r="E4" s="40" t="str">
        <x:v>Test Data</x:v>
      </x:c>
      <x:c r="F4" s="40" t="str">
        <x:v>Expected Result</x:v>
      </x:c>
      <x:c r="G4" s="40" t="str">
        <x:v>Actual Result</x:v>
      </x:c>
      <x:c r="H4" s="40" t="str">
        <x:v>Status</x:v>
      </x:c>
      <x:c r="I4" s="40" t="str">
        <x:v>Remarks</x:v>
      </x:c>
    </x:row>
    <x:row r="5">
      <x:c r="A5" s="38" t="str">
        <x:v>TC-01</x:v>
      </x:c>
      <x:c r="B5" s="38" t="str">
        <x:v>Public/Home</x:v>
      </x:c>
      <x:c r="C5" s="38" t="str">
        <x:v>Open live homepage</x:v>
      </x:c>
      <x:c r="D5" s="38" t="str">
        <x:v>Open deployed frontend URL</x:v>
      </x:c>
      <x:c r="E5" s="38" t="str">
        <x:v>Live URL</x:v>
      </x:c>
      <x:c r="F5" s="38" t="str">
        <x:v>Homepage loads with navbar, hero, featured projects and footer</x:v>
      </x:c>
      <x:c r="G5" s="38" t="str">
        <x:v>Homepage loaded successfully</x:v>
      </x:c>
      <x:c r="H5" s="38" t="str">
        <x:v>PASS</x:v>
      </x:c>
      <x:c r="I5" s="38" t="str"/>
    </x:row>
    <x:row r="6">
      <x:c r="A6" s="38" t="str">
        <x:v>TC-02</x:v>
      </x:c>
      <x:c r="B6" s="38" t="str">
        <x:v>Public/Home</x:v>
      </x:c>
      <x:c r="C6" s="38" t="str">
        <x:v>Navbar Projects link</x:v>
      </x:c>
      <x:c r="D6" s="38" t="str">
        <x:v>Click Projects from navbar</x:v>
      </x:c>
      <x:c r="E6" s="38" t="str">
        <x:v>N/A</x:v>
      </x:c>
      <x:c r="F6" s="38" t="str">
        <x:v>All Projects page opens</x:v>
      </x:c>
      <x:c r="G6" s="38" t="str">
        <x:v>Projects page opened</x:v>
      </x:c>
      <x:c r="H6" s="38" t="str">
        <x:v>PASS</x:v>
      </x:c>
      <x:c r="I6" s="38" t="str"/>
    </x:row>
    <x:row r="7">
      <x:c r="A7" s="38" t="str">
        <x:v>TC-03</x:v>
      </x:c>
      <x:c r="B7" s="38" t="str">
        <x:v>Public/Home</x:v>
      </x:c>
      <x:c r="C7" s="38" t="str">
        <x:v>Navbar How It Works link</x:v>
      </x:c>
      <x:c r="D7" s="38" t="str">
        <x:v>Click How It Works</x:v>
      </x:c>
      <x:c r="E7" s="38" t="str">
        <x:v>N/A</x:v>
      </x:c>
      <x:c r="F7" s="38" t="str">
        <x:v>Page scrolls to How It Works section</x:v>
      </x:c>
      <x:c r="G7" s="38" t="str">
        <x:v>Scrolled to section</x:v>
      </x:c>
      <x:c r="H7" s="38" t="str">
        <x:v>PASS</x:v>
      </x:c>
      <x:c r="I7" s="38" t="str"/>
    </x:row>
    <x:row r="8">
      <x:c r="A8" s="38" t="str">
        <x:v>TC-04</x:v>
      </x:c>
      <x:c r="B8" s="38" t="str">
        <x:v>Public/Home</x:v>
      </x:c>
      <x:c r="C8" s="38" t="str">
        <x:v>Navbar Contact link</x:v>
      </x:c>
      <x:c r="D8" s="38" t="str">
        <x:v>Click Contact from navbar</x:v>
      </x:c>
      <x:c r="E8" s="38" t="str">
        <x:v>N/A</x:v>
      </x:c>
      <x:c r="F8" s="38" t="str">
        <x:v>Page scrolls to footer Contact section</x:v>
      </x:c>
      <x:c r="G8" s="38" t="str">
        <x:v>Scrolled to Contact section</x:v>
      </x:c>
      <x:c r="H8" s="38" t="str">
        <x:v>PASS</x:v>
      </x:c>
      <x:c r="I8" s="38" t="str"/>
    </x:row>
    <x:row r="9">
      <x:c r="A9" s="38" t="str">
        <x:v>TC-05</x:v>
      </x:c>
      <x:c r="B9" s="38" t="str">
        <x:v>Projects</x:v>
      </x:c>
      <x:c r="C9" s="38" t="str">
        <x:v>View approved projects</x:v>
      </x:c>
      <x:c r="D9" s="38" t="str">
        <x:v>Open All Projects page</x:v>
      </x:c>
      <x:c r="E9" s="38" t="str">
        <x:v>Approved projects</x:v>
      </x:c>
      <x:c r="F9" s="38" t="str">
        <x:v>Approved projects are displayed dynamically</x:v>
      </x:c>
      <x:c r="G9" s="38" t="str">
        <x:v>Approved projects displayed</x:v>
      </x:c>
      <x:c r="H9" s="38" t="str">
        <x:v>PASS</x:v>
      </x:c>
      <x:c r="I9" s="38" t="str"/>
    </x:row>
    <x:row r="10">
      <x:c r="A10" s="38" t="str">
        <x:v>TC-06</x:v>
      </x:c>
      <x:c r="B10" s="38" t="str">
        <x:v>Projects</x:v>
      </x:c>
      <x:c r="C10" s="38" t="str">
        <x:v>View completed project</x:v>
      </x:c>
      <x:c r="D10" s="38" t="str">
        <x:v>Open All Projects page and inspect completed card</x:v>
      </x:c>
      <x:c r="E10" s="38" t="str">
        <x:v>Completed project</x:v>
      </x:c>
      <x:c r="F10" s="38" t="str">
        <x:v>Completed badge/status is shown correctly</x:v>
      </x:c>
      <x:c r="G10" s="38" t="str">
        <x:v>Completed status displayed</x:v>
      </x:c>
      <x:c r="H10" s="38" t="str">
        <x:v>PASS</x:v>
      </x:c>
      <x:c r="I10" s="38" t="str"/>
    </x:row>
    <x:row r="11">
      <x:c r="A11" s="38" t="str">
        <x:v>TC-07</x:v>
      </x:c>
      <x:c r="B11" s="38" t="str">
        <x:v>Projects</x:v>
      </x:c>
      <x:c r="C11" s="38" t="str">
        <x:v>Project Details routing</x:v>
      </x:c>
      <x:c r="D11" s="38" t="str">
        <x:v>Open project details page and refresh browser</x:v>
      </x:c>
      <x:c r="E11" s="38" t="str">
        <x:v>/projects/:id</x:v>
      </x:c>
      <x:c r="F11" s="38" t="str">
        <x:v>Project details page remains accessible after refresh</x:v>
      </x:c>
      <x:c r="G11" s="38" t="str">
        <x:v>Page refreshed successfully</x:v>
      </x:c>
      <x:c r="H11" s="38" t="str">
        <x:v>PASS</x:v>
      </x:c>
      <x:c r="I11" s="38" t="str">
        <x:v>Render rewrite configured</x:v>
      </x:c>
    </x:row>
    <x:row r="12">
      <x:c r="A12" s="38" t="str">
        <x:v>TC-08</x:v>
      </x:c>
      <x:c r="B12" s="38" t="str">
        <x:v>Projects</x:v>
      </x:c>
      <x:c r="C12" s="38" t="str">
        <x:v>Project image loading</x:v>
      </x:c>
      <x:c r="D12" s="38" t="str">
        <x:v>Open project details page</x:v>
      </x:c>
      <x:c r="E12" s="38" t="str">
        <x:v>LAND_IMAGE</x:v>
      </x:c>
      <x:c r="F12" s="38" t="str">
        <x:v>Correct project image loads from backend</x:v>
      </x:c>
      <x:c r="G12" s="38" t="str">
        <x:v>Project image loaded</x:v>
      </x:c>
      <x:c r="H12" s="38" t="str">
        <x:v>PASS</x:v>
      </x:c>
      <x:c r="I12" s="38" t="str"/>
    </x:row>
    <x:row r="13">
      <x:c r="A13" s="38" t="str">
        <x:v>TC-09</x:v>
      </x:c>
      <x:c r="B13" s="38" t="str">
        <x:v>Investor</x:v>
      </x:c>
      <x:c r="C13" s="38" t="str">
        <x:v>Investor registration</x:v>
      </x:c>
      <x:c r="D13" s="38" t="str">
        <x:v>Create a new investor account</x:v>
      </x:c>
      <x:c r="E13" s="38" t="str">
        <x:v>Valid investor data</x:v>
      </x:c>
      <x:c r="F13" s="38" t="str">
        <x:v>Investor account is created and stored in database</x:v>
      </x:c>
      <x:c r="G13" s="38" t="str">
        <x:v>Account created successfully</x:v>
      </x:c>
      <x:c r="H13" s="38" t="str">
        <x:v>PASS</x:v>
      </x:c>
      <x:c r="I13" s="38" t="str"/>
    </x:row>
    <x:row r="14">
      <x:c r="A14" s="38" t="str">
        <x:v>TC-10</x:v>
      </x:c>
      <x:c r="B14" s="38" t="str">
        <x:v>Investor</x:v>
      </x:c>
      <x:c r="C14" s="38" t="str">
        <x:v>Investor login</x:v>
      </x:c>
      <x:c r="D14" s="38" t="str">
        <x:v>Login with valid investor credentials</x:v>
      </x:c>
      <x:c r="E14" s="38" t="str">
        <x:v>Valid email/password</x:v>
      </x:c>
      <x:c r="F14" s="38" t="str">
        <x:v>Investor dashboard opens</x:v>
      </x:c>
      <x:c r="G14" s="38" t="str">
        <x:v>Login successful</x:v>
      </x:c>
      <x:c r="H14" s="38" t="str">
        <x:v>PASS</x:v>
      </x:c>
      <x:c r="I14" s="38" t="str"/>
    </x:row>
    <x:row r="15">
      <x:c r="A15" s="38" t="str">
        <x:v>TC-11</x:v>
      </x:c>
      <x:c r="B15" s="38" t="str">
        <x:v>Investor</x:v>
      </x:c>
      <x:c r="C15" s="38" t="str">
        <x:v>Investor dashboard data</x:v>
      </x:c>
      <x:c r="D15" s="38" t="str">
        <x:v>Open investor dashboard</x:v>
      </x:c>
      <x:c r="E15" s="38" t="str">
        <x:v>Existing investments</x:v>
      </x:c>
      <x:c r="F15" s="38" t="str">
        <x:v>Investment totals and project cards show real database data</x:v>
      </x:c>
      <x:c r="G15" s="38" t="str">
        <x:v>Dashboard data loaded</x:v>
      </x:c>
      <x:c r="H15" s="38" t="str">
        <x:v>PASS</x:v>
      </x:c>
      <x:c r="I15" s="38" t="str"/>
    </x:row>
    <x:row r="16">
      <x:c r="A16" s="38" t="str">
        <x:v>TC-12</x:v>
      </x:c>
      <x:c r="B16" s="38" t="str">
        <x:v>Investor</x:v>
      </x:c>
      <x:c r="C16" s="38" t="str">
        <x:v>My Investments</x:v>
      </x:c>
      <x:c r="D16" s="38" t="str">
        <x:v>Click My Investments</x:v>
      </x:c>
      <x:c r="E16" s="38" t="str">
        <x:v>Existing investor</x:v>
      </x:c>
      <x:c r="F16" s="38" t="str">
        <x:v>Investor's completed/pending investments are displayed</x:v>
      </x:c>
      <x:c r="G16" s="38" t="str">
        <x:v>Investments displayed</x:v>
      </x:c>
      <x:c r="H16" s="38" t="str">
        <x:v>PASS</x:v>
      </x:c>
      <x:c r="I16" s="38" t="str"/>
    </x:row>
    <x:row r="17">
      <x:c r="A17" s="38" t="str">
        <x:v>TC-13</x:v>
      </x:c>
      <x:c r="B17" s="38" t="str">
        <x:v>Investor</x:v>
      </x:c>
      <x:c r="C17" s="38" t="str">
        <x:v>Investor Profit Report</x:v>
      </x:c>
      <x:c r="D17" s="38" t="str">
        <x:v>Open profit report for completed investment</x:v>
      </x:c>
      <x:c r="E17" s="38" t="str">
        <x:v>Completed project</x:v>
      </x:c>
      <x:c r="F17" s="38" t="str">
        <x:v>Actual profit share and return details are displayed</x:v>
      </x:c>
      <x:c r="G17" s="38" t="str">
        <x:v>Profit report displayed</x:v>
      </x:c>
      <x:c r="H17" s="38" t="str">
        <x:v>PASS</x:v>
      </x:c>
      <x:c r="I17" s="38" t="str"/>
    </x:row>
    <x:row r="18">
      <x:c r="A18" s="38" t="str">
        <x:v>TC-14</x:v>
      </x:c>
      <x:c r="B18" s="38" t="str">
        <x:v>Payment</x:v>
      </x:c>
      <x:c r="C18" s="38" t="str">
        <x:v>Open payment page</x:v>
      </x:c>
      <x:c r="D18" s="38" t="str">
        <x:v>Click Invest Now on approved project</x:v>
      </x:c>
      <x:c r="E18" s="38" t="str">
        <x:v>Approved project</x:v>
      </x:c>
      <x:c r="F18" s="38" t="str">
        <x:v>Payment page opens with correct project information</x:v>
      </x:c>
      <x:c r="G18" s="38" t="str">
        <x:v>Payment page opened</x:v>
      </x:c>
      <x:c r="H18" s="38" t="str">
        <x:v>PASS</x:v>
      </x:c>
      <x:c r="I18" s="38" t="str"/>
    </x:row>
    <x:row r="19">
      <x:c r="A19" s="38" t="str">
        <x:v>TC-15</x:v>
      </x:c>
      <x:c r="B19" s="38" t="str">
        <x:v>Payment</x:v>
      </x:c>
      <x:c r="C19" s="38" t="str">
        <x:v>Investment amount validation</x:v>
      </x:c>
      <x:c r="D19" s="38" t="str">
        <x:v>Enter amount below minimum or above maximum</x:v>
      </x:c>
      <x:c r="E19" s="38" t="str">
        <x:v>Invalid amount</x:v>
      </x:c>
      <x:c r="F19" s="38" t="str">
        <x:v>System prevents invalid investment amount</x:v>
      </x:c>
      <x:c r="G19" s="38" t="str">
        <x:v>Validation works</x:v>
      </x:c>
      <x:c r="H19" s="38" t="str">
        <x:v>PASS</x:v>
      </x:c>
      <x:c r="I19" s="38" t="str"/>
    </x:row>
    <x:row r="20">
      <x:c r="A20" s="38" t="str">
        <x:v>TC-16</x:v>
      </x:c>
      <x:c r="B20" s="38" t="str">
        <x:v>Payment</x:v>
      </x:c>
      <x:c r="C20" s="38" t="str">
        <x:v>SSLCommerz sandbox payment</x:v>
      </x:c>
      <x:c r="D20" s="38" t="str">
        <x:v>Proceed to SSLCommerz and pay using sandbox card</x:v>
      </x:c>
      <x:c r="E20" s="38" t="str">
        <x:v>Sandbox card</x:v>
      </x:c>
      <x:c r="F20" s="38" t="str">
        <x:v>Payment completes successfully</x:v>
      </x:c>
      <x:c r="G20" s="38" t="str">
        <x:v>Payment successful</x:v>
      </x:c>
      <x:c r="H20" s="38" t="str">
        <x:v>PASS</x:v>
      </x:c>
      <x:c r="I20" s="38" t="str"/>
    </x:row>
    <x:row r="21">
      <x:c r="A21" s="38" t="str">
        <x:v>TC-17</x:v>
      </x:c>
      <x:c r="B21" s="38" t="str">
        <x:v>Payment</x:v>
      </x:c>
      <x:c r="C21" s="38" t="str">
        <x:v>Payment Success details</x:v>
      </x:c>
      <x:c r="D21" s="38" t="str">
        <x:v>Complete payment and inspect success page</x:v>
      </x:c>
      <x:c r="E21" s="38" t="str">
        <x:v>Completed payment</x:v>
      </x:c>
      <x:c r="F21" s="38" t="str">
        <x:v>Actual project name, investor name, amount and transaction ID are shown</x:v>
      </x:c>
      <x:c r="G21" s="38" t="str">
        <x:v>Correct payment details shown</x:v>
      </x:c>
      <x:c r="H21" s="38" t="str">
        <x:v>PASS</x:v>
      </x:c>
      <x:c r="I21" s="38" t="str"/>
    </x:row>
    <x:row r="22">
      <x:c r="A22" s="38" t="str">
        <x:v>TC-18</x:v>
      </x:c>
      <x:c r="B22" s="38" t="str">
        <x:v>Payment</x:v>
      </x:c>
      <x:c r="C22" s="38" t="str">
        <x:v>Payment callback on deployed site</x:v>
      </x:c>
      <x:c r="D22" s="38" t="str">
        <x:v>Complete payment from live frontend</x:v>
      </x:c>
      <x:c r="E22" s="38" t="str">
        <x:v>Live deployment</x:v>
      </x:c>
      <x:c r="F22" s="38" t="str">
        <x:v>SSLCommerz redirects to deployed Payment Success URL, not localhost</x:v>
      </x:c>
      <x:c r="G22" s="38" t="str">
        <x:v>Redirected to live frontend</x:v>
      </x:c>
      <x:c r="H22" s="38" t="str">
        <x:v>PASS</x:v>
      </x:c>
      <x:c r="I22" s="38" t="str"/>
    </x:row>
    <x:row r="23">
      <x:c r="A23" s="38" t="str">
        <x:v>TC-19</x:v>
      </x:c>
      <x:c r="B23" s="38" t="str">
        <x:v>Farmer</x:v>
      </x:c>
      <x:c r="C23" s="38" t="str">
        <x:v>Farmer registration/login</x:v>
      </x:c>
      <x:c r="D23" s="38" t="str">
        <x:v>Login with valid farmer account</x:v>
      </x:c>
      <x:c r="E23" s="38" t="str">
        <x:v>Approved farmer</x:v>
      </x:c>
      <x:c r="F23" s="38" t="str">
        <x:v>Farmer dashboard opens</x:v>
      </x:c>
      <x:c r="G23" s="38" t="str">
        <x:v>Farmer login successful</x:v>
      </x:c>
      <x:c r="H23" s="38" t="str">
        <x:v>PASS</x:v>
      </x:c>
      <x:c r="I23" s="38" t="str"/>
    </x:row>
    <x:row r="24">
      <x:c r="A24" s="38" t="str">
        <x:v>TC-20</x:v>
      </x:c>
      <x:c r="B24" s="38" t="str">
        <x:v>Farmer</x:v>
      </x:c>
      <x:c r="C24" s="38" t="str">
        <x:v>Farmer dashboard dynamic data</x:v>
      </x:c>
      <x:c r="D24" s="38" t="str">
        <x:v>Open farmer dashboard</x:v>
      </x:c>
      <x:c r="E24" s="38" t="str">
        <x:v>Farmer projects</x:v>
      </x:c>
      <x:c r="F24" s="38" t="str">
        <x:v>Real farmer name, project count, investors, raised amount and profit share are shown</x:v>
      </x:c>
      <x:c r="G24" s="38" t="str">
        <x:v>Dynamic data displayed</x:v>
      </x:c>
      <x:c r="H24" s="38" t="str">
        <x:v>PASS</x:v>
      </x:c>
      <x:c r="I24" s="38" t="str"/>
    </x:row>
    <x:row r="25">
      <x:c r="A25" s="38" t="str">
        <x:v>TC-21</x:v>
      </x:c>
      <x:c r="B25" s="38" t="str">
        <x:v>Farmer</x:v>
      </x:c>
      <x:c r="C25" s="38" t="str">
        <x:v>Create new project</x:v>
      </x:c>
      <x:c r="D25" s="38" t="str">
        <x:v>Submit project form with required documents</x:v>
      </x:c>
      <x:c r="E25" s="38" t="str">
        <x:v>Valid project data</x:v>
      </x:c>
      <x:c r="F25" s="38" t="str">
        <x:v>Project is created with pending status</x:v>
      </x:c>
      <x:c r="G25" s="38" t="str">
        <x:v>Project created successfully</x:v>
      </x:c>
      <x:c r="H25" s="38" t="str">
        <x:v>PASS</x:v>
      </x:c>
      <x:c r="I25" s="38" t="str"/>
    </x:row>
    <x:row r="26">
      <x:c r="A26" s="38" t="str">
        <x:v>TC-22</x:v>
      </x:c>
      <x:c r="B26" s="38" t="str">
        <x:v>Farmer</x:v>
      </x:c>
      <x:c r="C26" s="38" t="str">
        <x:v>Upload project documents</x:v>
      </x:c>
      <x:c r="D26" s="38" t="str">
        <x:v>Upload NID, land deed and land image</x:v>
      </x:c>
      <x:c r="E26" s="38" t="str">
        <x:v>Valid files</x:v>
      </x:c>
      <x:c r="F26" s="38" t="str">
        <x:v>Project documents are stored and available for admin verification</x:v>
      </x:c>
      <x:c r="G26" s="38" t="str">
        <x:v>Documents uploaded</x:v>
      </x:c>
      <x:c r="H26" s="38" t="str">
        <x:v>PASS</x:v>
      </x:c>
      <x:c r="I26" s="38" t="str"/>
    </x:row>
    <x:row r="27">
      <x:c r="A27" s="38" t="str">
        <x:v>TC-23</x:v>
      </x:c>
      <x:c r="B27" s="38" t="str">
        <x:v>Farmer</x:v>
      </x:c>
      <x:c r="C27" s="38" t="str">
        <x:v>Farmer Profit Report</x:v>
      </x:c>
      <x:c r="D27" s="38" t="str">
        <x:v>Open profit report for completed project</x:v>
      </x:c>
      <x:c r="E27" s="38" t="str">
        <x:v>Completed tomato project</x:v>
      </x:c>
      <x:c r="F27" s="38" t="str">
        <x:v>Funding, revenue, net profit, farmer share and investor share are displayed</x:v>
      </x:c>
      <x:c r="G27" s="38" t="str">
        <x:v>Profit report displayed correctly</x:v>
      </x:c>
      <x:c r="H27" s="38" t="str">
        <x:v>PASS</x:v>
      </x:c>
      <x:c r="I27" s="38" t="str"/>
    </x:row>
    <x:row r="28">
      <x:c r="A28" s="38" t="str">
        <x:v>TC-24</x:v>
      </x:c>
      <x:c r="B28" s="38" t="str">
        <x:v>Admin</x:v>
      </x:c>
      <x:c r="C28" s="38" t="str">
        <x:v>Admin login</x:v>
      </x:c>
      <x:c r="D28" s="38" t="str">
        <x:v>Login with valid admin credentials</x:v>
      </x:c>
      <x:c r="E28" s="38" t="str">
        <x:v>Admin account</x:v>
      </x:c>
      <x:c r="F28" s="38" t="str">
        <x:v>Admin dashboard opens</x:v>
      </x:c>
      <x:c r="G28" s="38" t="str">
        <x:v>Admin login successful</x:v>
      </x:c>
      <x:c r="H28" s="38" t="str">
        <x:v>PASS</x:v>
      </x:c>
      <x:c r="I28" s="38" t="str"/>
    </x:row>
    <x:row r="29">
      <x:c r="A29" s="38" t="str">
        <x:v>TC-25</x:v>
      </x:c>
      <x:c r="B29" s="38" t="str">
        <x:v>Admin</x:v>
      </x:c>
      <x:c r="C29" s="38" t="str">
        <x:v>Approve farmer</x:v>
      </x:c>
      <x:c r="D29" s="38" t="str">
        <x:v>Open pending farmer and click Approve</x:v>
      </x:c>
      <x:c r="E29" s="38" t="str">
        <x:v>Pending farmer</x:v>
      </x:c>
      <x:c r="F29" s="38" t="str">
        <x:v>Farmer verification status becomes approved</x:v>
      </x:c>
      <x:c r="G29" s="38" t="str">
        <x:v>Farmer approved</x:v>
      </x:c>
      <x:c r="H29" s="38" t="str">
        <x:v>PASS</x:v>
      </x:c>
      <x:c r="I29" s="38" t="str"/>
    </x:row>
    <x:row r="30">
      <x:c r="A30" s="38" t="str">
        <x:v>TC-26</x:v>
      </x:c>
      <x:c r="B30" s="38" t="str">
        <x:v>Admin</x:v>
      </x:c>
      <x:c r="C30" s="38" t="str">
        <x:v>Approve project</x:v>
      </x:c>
      <x:c r="D30" s="38" t="str">
        <x:v>Open pending project and click Approve</x:v>
      </x:c>
      <x:c r="E30" s="38" t="str">
        <x:v>Pending project</x:v>
      </x:c>
      <x:c r="F30" s="38" t="str">
        <x:v>Project becomes approved and appears on public projects page</x:v>
      </x:c>
      <x:c r="G30" s="38" t="str">
        <x:v>Project approved</x:v>
      </x:c>
      <x:c r="H30" s="38" t="str">
        <x:v>PASS</x:v>
      </x:c>
      <x:c r="I30" s="38" t="str"/>
    </x:row>
    <x:row r="31">
      <x:c r="A31" s="38" t="str">
        <x:v>TC-27</x:v>
      </x:c>
      <x:c r="B31" s="38" t="str">
        <x:v>Admin</x:v>
      </x:c>
      <x:c r="C31" s="38" t="str">
        <x:v>Reject project</x:v>
      </x:c>
      <x:c r="D31" s="38" t="str">
        <x:v>Open pending project and click Reject</x:v>
      </x:c>
      <x:c r="E31" s="38" t="str">
        <x:v>Pending project</x:v>
      </x:c>
      <x:c r="F31" s="38" t="str">
        <x:v>Project becomes rejected and is not investable</x:v>
      </x:c>
      <x:c r="G31" s="38" t="str">
        <x:v>Project rejected successfully</x:v>
      </x:c>
      <x:c r="H31" s="38" t="str">
        <x:v>PASS</x:v>
      </x:c>
      <x:c r="I31" s="38" t="str"/>
    </x:row>
    <x:row r="32">
      <x:c r="A32" s="38" t="str">
        <x:v>TC-28</x:v>
      </x:c>
      <x:c r="B32" s="38" t="str">
        <x:v>Admin/Profit</x:v>
      </x:c>
      <x:c r="C32" s="38" t="str">
        <x:v>Complete project and publish revenue</x:v>
      </x:c>
      <x:c r="D32" s="38" t="str">
        <x:v>Enter final revenue after minimum funding threshold</x:v>
      </x:c>
      <x:c r="E32" s="38" t="str">
        <x:v>Revenue &gt;= investment</x:v>
      </x:c>
      <x:c r="F32" s="38" t="str">
        <x:v>Project status becomes completed and profit report is generated</x:v>
      </x:c>
      <x:c r="G32" s="38" t="str">
        <x:v>Completed project profit generated</x:v>
      </x:c>
      <x:c r="H32" s="38" t="str">
        <x:v>PASS</x:v>
      </x:c>
      <x:c r="I32" s="38" t="str"/>
    </x:row>
    <x:row r="33">
      <x:c r="A33" s="38" t="str">
        <x:v>TC-29</x:v>
      </x:c>
      <x:c r="B33" s="38" t="str">
        <x:v>Database</x:v>
      </x:c>
      <x:c r="C33" s="38" t="str">
        <x:v>Cloud database read</x:v>
      </x:c>
      <x:c r="D33" s="38" t="str">
        <x:v>Open deployed app and load existing users/projects/investments</x:v>
      </x:c>
      <x:c r="E33" s="38" t="str">
        <x:v>TiDB Cloud</x:v>
      </x:c>
      <x:c r="F33" s="38" t="str">
        <x:v>Existing cloud data is read successfully</x:v>
      </x:c>
      <x:c r="G33" s="38" t="str">
        <x:v>Data read successfully</x:v>
      </x:c>
      <x:c r="H33" s="38" t="str">
        <x:v>PASS</x:v>
      </x:c>
      <x:c r="I33" s="38" t="str"/>
    </x:row>
    <x:row r="34">
      <x:c r="A34" s="38" t="str">
        <x:v>TC-30</x:v>
      </x:c>
      <x:c r="B34" s="38" t="str">
        <x:v>Database</x:v>
      </x:c>
      <x:c r="C34" s="38" t="str">
        <x:v>Cloud database write</x:v>
      </x:c>
      <x:c r="D34" s="38" t="str">
        <x:v>Register/create/invest from deployed app</x:v>
      </x:c>
      <x:c r="E34" s="38" t="str">
        <x:v>TiDB Cloud</x:v>
      </x:c>
      <x:c r="F34" s="38" t="str">
        <x:v>New records are stored successfully in TiDB Cloud</x:v>
      </x:c>
      <x:c r="G34" s="38" t="str">
        <x:v>Data written successfully</x:v>
      </x:c>
      <x:c r="H34" s="38" t="str">
        <x:v>PASS</x:v>
      </x:c>
      <x:c r="I34" s="38" t="str"/>
    </x:row>
    <x:row r="35">
      <x:c r="A35" s="38" t="str">
        <x:v>TC-31</x:v>
      </x:c>
      <x:c r="B35" s="38" t="str">
        <x:v>Deployment</x:v>
      </x:c>
      <x:c r="C35" s="38" t="str">
        <x:v>Backend health check</x:v>
      </x:c>
      <x:c r="D35" s="38" t="str">
        <x:v>Open deployed backend URL</x:v>
      </x:c>
      <x:c r="E35" s="38" t="str">
        <x:v>Render backend URL</x:v>
      </x:c>
      <x:c r="F35" s="38" t="str">
        <x:v>Backend responds that server is running</x:v>
      </x:c>
      <x:c r="G35" s="38" t="str">
        <x:v>Backend live</x:v>
      </x:c>
      <x:c r="H35" s="38" t="str">
        <x:v>PASS</x:v>
      </x:c>
      <x:c r="I35" s="38" t="str"/>
    </x:row>
    <x:row r="36">
      <x:c r="A36" s="38" t="str">
        <x:v>TC-32</x:v>
      </x:c>
      <x:c r="B36" s="38" t="str">
        <x:v>Deployment</x:v>
      </x:c>
      <x:c r="C36" s="38" t="str">
        <x:v>Frontend live access</x:v>
      </x:c>
      <x:c r="D36" s="38" t="str">
        <x:v>Open deployed frontend URL from browser</x:v>
      </x:c>
      <x:c r="E36" s="38" t="str">
        <x:v>Render frontend URL</x:v>
      </x:c>
      <x:c r="F36" s="38" t="str">
        <x:v>Website loads without local server/XAMPP</x:v>
      </x:c>
      <x:c r="G36" s="38" t="str">
        <x:v>Frontend live</x:v>
      </x:c>
      <x:c r="H36" s="38" t="str">
        <x:v>PASS</x:v>
      </x:c>
      <x:c r="I36" s="38" t="str"/>
    </x:row>
    <x:row r="37">
      <x:c r="A37" s="38" t="str">
        <x:v>TC-33</x:v>
      </x:c>
      <x:c r="B37" s="38" t="str">
        <x:v>Deployment</x:v>
      </x:c>
      <x:c r="C37" s="38" t="str">
        <x:v>Cross-device/public access</x:v>
      </x:c>
      <x:c r="D37" s="38" t="str">
        <x:v>Open live frontend URL from another device/network</x:v>
      </x:c>
      <x:c r="E37" s="38" t="str">
        <x:v>Public URL</x:v>
      </x:c>
      <x:c r="F37" s="38" t="str">
        <x:v>Website is accessible publicly</x:v>
      </x:c>
      <x:c r="G37" s="38" t="str">
        <x:v>Website accessible from another device/network</x:v>
      </x:c>
      <x:c r="H37" s="38" t="str">
        <x:v>PASS</x:v>
      </x:c>
      <x:c r="I37" s="38" t="str"/>
    </x:row>
    <x:row r="38">
      <x:c r="A38" s="38" t="str">
        <x:v>TC-34</x:v>
      </x:c>
      <x:c r="B38" s="38" t="str">
        <x:v>Security/Validation</x:v>
      </x:c>
      <x:c r="C38" s="38" t="str">
        <x:v>Unauthorized farmer-only action</x:v>
      </x:c>
      <x:c r="D38" s="38" t="str">
        <x:v>Try creating project using non-farmer account</x:v>
      </x:c>
      <x:c r="E38" s="38" t="str">
        <x:v>Investor account</x:v>
      </x:c>
      <x:c r="F38" s="38" t="str">
        <x:v>System blocks action with 403/validation message</x:v>
      </x:c>
      <x:c r="G38" s="38" t="str">
        <x:v>Role validation implemented</x:v>
      </x:c>
      <x:c r="H38" s="38" t="str">
        <x:v>PASS</x:v>
      </x:c>
      <x:c r="I38" s="38" t="str"/>
    </x:row>
    <x:row r="39">
      <x:c r="A39" s="38" t="str">
        <x:v>TC-35</x:v>
      </x:c>
      <x:c r="B39" s="38" t="str">
        <x:v>Payment</x:v>
      </x:c>
      <x:c r="C39" s="38" t="str">
        <x:v>Failed/cancelled payment handling</x:v>
      </x:c>
      <x:c r="D39" s="38" t="str">
        <x:v>Cancel or fail SSLCommerz sandbox transaction</x:v>
      </x:c>
      <x:c r="E39" s="38" t="str">
        <x:v>Sandbox payment</x:v>
      </x:c>
      <x:c r="F39" s="38" t="str">
        <x:v>Investment/payment status should remain failed/pending and user should see proper message</x:v>
      </x:c>
      <x:c r="G39" s="38" t="str">
        <x:v>Not tested yet</x:v>
      </x:c>
      <x:c r="H39" s="38" t="str">
        <x:v>NOT TESTED</x:v>
      </x:c>
      <x:c r="I39" s="38" t="str">
        <x:v>Recommended negative test</x:v>
      </x:c>
    </x:row>
  </x:sheetData>
  <x:mergeCells>
    <x:mergeCell ref="A1:I1"/>
    <x:mergeCell ref="A2:I2"/>
  </x:mergeCells>
  <x:dataValidations count="1">
    <x:dataValidation type="list" sqref="H5:H39">
      <x:formula1>"PASS,FAIL,NOT TESTED,BLOCKED"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ed33e5d56043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4" max="4" width="18" hidden="0" customWidth="1"/>
    <x:col min="5" max="5" width="12" hidden="0" customWidth="1"/>
  </x:cols>
  <x:sheetData>
    <x:row r="1">
      <x:c r="A1" s="46" t="str">
        <x:v>AgroInvest QA Summary</x:v>
      </x:c>
      <x:c r="B1" s="46"/>
      <x:c r="C1" s="46"/>
      <x:c r="D1" s="46"/>
      <x:c r="E1" s="46"/>
      <x:c r="F1" s="46"/>
    </x:row>
    <x:row r="3">
      <x:c r="A3" s="47" t="str">
        <x:v>Metric</x:v>
      </x:c>
      <x:c r="B3" s="47" t="str">
        <x:v>Value</x:v>
      </x:c>
      <x:c r="D3" s="47" t="str">
        <x:v>Status</x:v>
      </x:c>
      <x:c r="E3" s="47" t="str">
        <x:v>Count</x:v>
      </x:c>
    </x:row>
    <x:row r="4">
      <x:c r="A4" s="49" t="str">
        <x:v>Total Test Cases</x:v>
      </x:c>
      <x:c r="B4" s="49" t="n">
        <x:f>COUNTA('QA Test Cases'!A5:A39)</x:f>
        <x:v>35</x:v>
      </x:c>
      <x:c r="D4" s="49" t="str">
        <x:v>PASS</x:v>
      </x:c>
      <x:c r="E4" s="49" t="n">
        <x:f>COUNTIF('QA Test Cases'!H5:H39,"PASS")</x:f>
        <x:v>34</x:v>
      </x:c>
    </x:row>
    <x:row r="5">
      <x:c r="A5" s="49" t="str">
        <x:v>Passed</x:v>
      </x:c>
      <x:c r="B5" s="49" t="n">
        <x:f>COUNTIF('QA Test Cases'!H5:H39,"PASS")</x:f>
        <x:v>34</x:v>
      </x:c>
      <x:c r="D5" s="49" t="str">
        <x:v>FAIL</x:v>
      </x:c>
      <x:c r="E5" s="49" t="n">
        <x:f>COUNTIF('QA Test Cases'!H5:H39,"FAIL")</x:f>
        <x:v>0</x:v>
      </x:c>
    </x:row>
    <x:row r="6">
      <x:c r="A6" s="49" t="str">
        <x:v>Failed</x:v>
      </x:c>
      <x:c r="B6" s="49" t="n">
        <x:f>COUNTIF('QA Test Cases'!H5:H39,"FAIL")</x:f>
        <x:v>0</x:v>
      </x:c>
      <x:c r="D6" s="49" t="str">
        <x:v>NOT TESTED</x:v>
      </x:c>
      <x:c r="E6" s="49" t="n">
        <x:f>COUNTIF('QA Test Cases'!H5:H39,"NOT TESTED")</x:f>
        <x:v>1</x:v>
      </x:c>
    </x:row>
    <x:row r="7">
      <x:c r="A7" s="49" t="str">
        <x:v>Not Tested</x:v>
      </x:c>
      <x:c r="B7" s="49" t="n">
        <x:f>COUNTIF('QA Test Cases'!H5:H39,"NOT TESTED")</x:f>
        <x:v>1</x:v>
      </x:c>
      <x:c r="D7" s="49" t="str">
        <x:v>BLOCKED</x:v>
      </x:c>
      <x:c r="E7" s="49" t="n">
        <x:f>COUNTIF('QA Test Cases'!H5:H39,"BLOCKED")</x:f>
        <x:v>0</x:v>
      </x:c>
    </x:row>
    <x:row r="10">
      <x:c r="A10" s="51" t="str">
        <x:v>Testing Notes</x:v>
      </x:c>
      <x:c r="B10" s="51"/>
      <x:c r="C10" s="51"/>
      <x:c r="D10" s="51"/>
      <x:c r="E10" s="51"/>
      <x:c r="F10" s="51"/>
    </x:row>
    <x:row r="11">
      <x:c r="A11" s="53" t="str">
        <x:v>1.</x:v>
      </x:c>
      <x:c r="B11" s="53" t="str">
        <x:v>PASS = tested and working on live deployment.</x:v>
      </x:c>
      <x:c r="C11" s="53"/>
      <x:c r="D11" s="53"/>
      <x:c r="E11" s="53"/>
      <x:c r="F11" s="53"/>
    </x:row>
    <x:row r="12">
      <x:c r="A12" s="53" t="str">
        <x:v>2.</x:v>
      </x:c>
      <x:c r="B12" s="53" t="str">
        <x:v>NOT TESTED = recommended test case that should be checked before final submission.</x:v>
      </x:c>
      <x:c r="C12" s="53"/>
      <x:c r="D12" s="53"/>
      <x:c r="E12" s="53"/>
      <x:c r="F12" s="53"/>
    </x:row>
    <x:row r="13">
      <x:c r="A13" s="53" t="str">
        <x:v>3.</x:v>
      </x:c>
      <x:c r="B13" s="53" t="str">
        <x:v>SSLCommerz is currently used in Sandbox mode for testing/demo.</x:v>
      </x:c>
      <x:c r="C13" s="53"/>
      <x:c r="D13" s="53"/>
      <x:c r="E13" s="53"/>
      <x:c r="F13" s="53"/>
    </x:row>
    <x:row r="14">
      <x:c r="A14" s="53" t="str">
        <x:v>4.</x:v>
      </x:c>
      <x:c r="B14" s="53" t="str">
        <x:v>Cloud database validation is based on TiDB Cloud read/write testing.</x:v>
      </x:c>
      <x:c r="C14" s="53"/>
      <x:c r="D14" s="53"/>
      <x:c r="E14" s="53"/>
      <x:c r="F14" s="53"/>
    </x:row>
  </x:sheetData>
  <x:mergeCells>
    <x:mergeCell ref="A1:F1"/>
    <x:mergeCell ref="A10:F10"/>
  </x:mergeCells>
  <x:pageMargins left="0.7" right="0.7" top="0.75" bottom="0.75" header="0.3" footer="0.3"/>
  <x:drawing xmlns:r="http://schemas.openxmlformats.org/officeDocument/2006/relationships" r:id="Rc75acb00a8f94c8e"/>
</x:worksheet>
</file>